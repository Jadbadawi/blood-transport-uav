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ud23108_bristol_ac_uk/Documents/AVDASI/CAD/"/>
    </mc:Choice>
  </mc:AlternateContent>
  <xr:revisionPtr revIDLastSave="6" documentId="8_{EA9A3473-CD2F-41DD-A396-D0EB73F2DD43}" xr6:coauthVersionLast="47" xr6:coauthVersionMax="47" xr10:uidLastSave="{B712444B-70C3-4AF3-8751-DBFC9A3B0D39}"/>
  <bookViews>
    <workbookView xWindow="-110" yWindow="-110" windowWidth="19420" windowHeight="10300" xr2:uid="{2A29C1C1-9FF2-4CD5-8ACB-ED38CBCECC8D}"/>
  </bookViews>
  <sheets>
    <sheet name="Main sp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D11" i="1"/>
  <c r="H11" i="1" s="1"/>
  <c r="F15" i="1"/>
  <c r="G15" i="1" s="1"/>
  <c r="F14" i="1"/>
  <c r="F13" i="1"/>
  <c r="G13" i="1" s="1"/>
  <c r="F12" i="1"/>
  <c r="G12" i="1" s="1"/>
  <c r="F11" i="1"/>
  <c r="G11" i="1" s="1"/>
  <c r="F10" i="1"/>
  <c r="G10" i="1" s="1"/>
  <c r="F6" i="1"/>
  <c r="G6" i="1" s="1"/>
  <c r="F7" i="1"/>
  <c r="G7" i="1" s="1"/>
  <c r="F8" i="1"/>
  <c r="G8" i="1" s="1"/>
  <c r="F9" i="1"/>
  <c r="G9" i="1" s="1"/>
  <c r="F5" i="1"/>
  <c r="G5" i="1" s="1"/>
  <c r="F4" i="1"/>
  <c r="G4" i="1" s="1"/>
  <c r="F3" i="1"/>
  <c r="G3" i="1" s="1"/>
  <c r="C3" i="1"/>
  <c r="D3" i="1" s="1"/>
  <c r="H3" i="1" s="1"/>
  <c r="C15" i="1"/>
  <c r="D15" i="1" s="1"/>
  <c r="C14" i="1"/>
  <c r="D14" i="1" s="1"/>
  <c r="H14" i="1" s="1"/>
  <c r="C13" i="1"/>
  <c r="D13" i="1" s="1"/>
  <c r="H13" i="1" s="1"/>
  <c r="C12" i="1"/>
  <c r="D12" i="1" s="1"/>
  <c r="C11" i="1"/>
  <c r="C10" i="1"/>
  <c r="D10" i="1" s="1"/>
  <c r="C9" i="1"/>
  <c r="D9" i="1" s="1"/>
  <c r="H9" i="1" s="1"/>
  <c r="C8" i="1"/>
  <c r="D8" i="1" s="1"/>
  <c r="C7" i="1"/>
  <c r="D7" i="1" s="1"/>
  <c r="H7" i="1" s="1"/>
  <c r="C6" i="1"/>
  <c r="D6" i="1" s="1"/>
  <c r="H6" i="1" s="1"/>
  <c r="C5" i="1"/>
  <c r="D5" i="1" s="1"/>
  <c r="H5" i="1" s="1"/>
  <c r="C4" i="1"/>
  <c r="D4" i="1" s="1"/>
  <c r="H4" i="1" s="1"/>
  <c r="H10" i="1" l="1"/>
  <c r="H15" i="1"/>
  <c r="H12" i="1"/>
  <c r="H8" i="1"/>
</calcChain>
</file>

<file path=xl/sharedStrings.xml><?xml version="1.0" encoding="utf-8"?>
<sst xmlns="http://schemas.openxmlformats.org/spreadsheetml/2006/main" count="9" uniqueCount="8">
  <si>
    <t>Spar num</t>
  </si>
  <si>
    <t>length min</t>
  </si>
  <si>
    <t>length max</t>
  </si>
  <si>
    <t>m spar d w/o reinforcement</t>
  </si>
  <si>
    <t>m spar d w  reinforcement</t>
  </si>
  <si>
    <t>m spar d w reinforcement</t>
  </si>
  <si>
    <t>root</t>
  </si>
  <si>
    <t>m spar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</si>
</sst>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23DC-8565-490C-A7B8-33CD915EFAA9}">
  <dimension ref="A1:H15"/>
  <sheetViews>
    <sheetView tabSelected="1" workbookViewId="0">
      <selection activeCell="F17" sqref="F17"/>
    </sheetView>
  </sheetViews>
  <sheetFormatPr defaultRowHeight="14.5" x14ac:dyDescent="0.35"/>
  <cols>
    <col min="1" max="1" width="8.36328125" bestFit="1" customWidth="1"/>
    <col min="2" max="2" width="9.1796875" bestFit="1" customWidth="1"/>
    <col min="3" max="3" width="23" bestFit="1" customWidth="1"/>
    <col min="4" max="4" width="21.7265625" bestFit="1" customWidth="1"/>
    <col min="5" max="5" width="9.54296875" bestFit="1" customWidth="1"/>
    <col min="6" max="6" width="23" bestFit="1" customWidth="1"/>
    <col min="7" max="7" width="21.36328125" bestFit="1" customWidth="1"/>
    <col min="8" max="8" width="11.81640625" bestFit="1" customWidth="1"/>
    <col min="9" max="9" width="8.453125" bestFit="1" customWidth="1"/>
  </cols>
  <sheetData>
    <row r="1" spans="1:8" x14ac:dyDescent="0.3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3</v>
      </c>
      <c r="G1" t="s">
        <v>5</v>
      </c>
      <c r="H1" t="s">
        <v>7</v>
      </c>
    </row>
    <row r="2" spans="1:8" x14ac:dyDescent="0.35">
      <c r="A2" t="s">
        <v>6</v>
      </c>
      <c r="B2">
        <v>0</v>
      </c>
      <c r="C2">
        <v>28</v>
      </c>
      <c r="D2">
        <v>30.7</v>
      </c>
    </row>
    <row r="3" spans="1:8" x14ac:dyDescent="0.35">
      <c r="A3">
        <v>13</v>
      </c>
      <c r="B3">
        <v>100</v>
      </c>
      <c r="C3">
        <f>C2-(B3*2*(2.757/1300))</f>
        <v>27.575846153846154</v>
      </c>
      <c r="D3">
        <f>C3+2.7</f>
        <v>30.275846153846153</v>
      </c>
      <c r="E3">
        <v>123</v>
      </c>
      <c r="F3">
        <f>C2-(E3*2*(2.757/1300))</f>
        <v>27.478290769230767</v>
      </c>
      <c r="G3">
        <f>F3+2.7</f>
        <v>30.178290769230767</v>
      </c>
      <c r="H3">
        <f>AVERAGE(D3,G3)</f>
        <v>30.227068461538458</v>
      </c>
    </row>
    <row r="4" spans="1:8" x14ac:dyDescent="0.35">
      <c r="A4">
        <v>12</v>
      </c>
      <c r="B4">
        <v>177</v>
      </c>
      <c r="C4">
        <f>C2-(B4*2*(2.757/1300))</f>
        <v>27.249247692307691</v>
      </c>
      <c r="D4">
        <f>C4+2.1</f>
        <v>29.349247692307692</v>
      </c>
      <c r="E4">
        <v>200</v>
      </c>
      <c r="F4">
        <f>C2-(E4*2*(2.757/1300))</f>
        <v>27.151692307692308</v>
      </c>
      <c r="G4">
        <f>F4+2.1</f>
        <v>29.251692307692309</v>
      </c>
      <c r="H4">
        <f>AVERAGE(D4,G4)</f>
        <v>29.300470000000001</v>
      </c>
    </row>
    <row r="5" spans="1:8" x14ac:dyDescent="0.35">
      <c r="A5">
        <v>11</v>
      </c>
      <c r="B5">
        <v>277</v>
      </c>
      <c r="C5">
        <f>C2-(B5*2*(2.757/1300))</f>
        <v>26.825093846153845</v>
      </c>
      <c r="D5">
        <f>C5+0.9</f>
        <v>27.725093846153843</v>
      </c>
      <c r="E5">
        <v>300</v>
      </c>
      <c r="F5">
        <f>C2-(E5*2*(2.757/1300))</f>
        <v>26.727538461538462</v>
      </c>
      <c r="G5">
        <f>F5+0.9</f>
        <v>27.62753846153846</v>
      </c>
      <c r="H5">
        <f>AVERAGE(D5,G5)</f>
        <v>27.676316153846152</v>
      </c>
    </row>
    <row r="6" spans="1:8" x14ac:dyDescent="0.35">
      <c r="A6">
        <v>10</v>
      </c>
      <c r="B6">
        <v>374.75</v>
      </c>
      <c r="C6">
        <f>C2-(B6*2*(2.757/1300))</f>
        <v>26.410483461538462</v>
      </c>
      <c r="D6">
        <f>C6+0.6</f>
        <v>27.010483461538463</v>
      </c>
      <c r="E6">
        <v>397.75</v>
      </c>
      <c r="F6">
        <f>C2-(E6*2*(2.757/1300))</f>
        <v>26.312928076923075</v>
      </c>
      <c r="G6">
        <f>F6+0.6</f>
        <v>26.912928076923077</v>
      </c>
      <c r="H6">
        <f>AVERAGE(D6,G6)</f>
        <v>26.961705769230768</v>
      </c>
    </row>
    <row r="7" spans="1:8" x14ac:dyDescent="0.35">
      <c r="A7">
        <v>9</v>
      </c>
      <c r="B7">
        <v>488.5</v>
      </c>
      <c r="C7">
        <f>C2-(B7*2*(2.757/1300))</f>
        <v>25.928008461538461</v>
      </c>
      <c r="D7">
        <f t="shared" ref="D7:D15" si="0">C7+0.6</f>
        <v>26.528008461538462</v>
      </c>
      <c r="E7">
        <v>511.5</v>
      </c>
      <c r="F7">
        <f>C2-(E7*2*(2.757/1300))</f>
        <v>25.830453076923078</v>
      </c>
      <c r="G7">
        <f t="shared" ref="G7:G15" si="1">F7+0.6</f>
        <v>26.430453076923079</v>
      </c>
      <c r="H7">
        <f>AVERAGE(D7,G7)</f>
        <v>26.479230769230771</v>
      </c>
    </row>
    <row r="8" spans="1:8" x14ac:dyDescent="0.35">
      <c r="A8">
        <v>8</v>
      </c>
      <c r="B8">
        <v>602.25</v>
      </c>
      <c r="C8">
        <f>C2-(B8*2*(2.757/1300))</f>
        <v>25.44553346153846</v>
      </c>
      <c r="D8">
        <f t="shared" si="0"/>
        <v>26.045533461538461</v>
      </c>
      <c r="E8">
        <v>625.25</v>
      </c>
      <c r="F8">
        <f>C2-(E8*2*(2.757/1300))</f>
        <v>25.347978076923077</v>
      </c>
      <c r="G8">
        <f t="shared" si="1"/>
        <v>25.947978076923079</v>
      </c>
      <c r="H8">
        <f>AVERAGE(D8,G8)</f>
        <v>25.99675576923077</v>
      </c>
    </row>
    <row r="9" spans="1:8" x14ac:dyDescent="0.35">
      <c r="A9">
        <v>7</v>
      </c>
      <c r="B9">
        <v>700</v>
      </c>
      <c r="C9">
        <f>C2-(B9*2*(2.757/1300))</f>
        <v>25.030923076923077</v>
      </c>
      <c r="D9">
        <f t="shared" si="0"/>
        <v>25.630923076923079</v>
      </c>
      <c r="E9">
        <v>723</v>
      </c>
      <c r="F9">
        <f>C2-(E9*2*(2.757/1300))</f>
        <v>24.933367692307691</v>
      </c>
      <c r="G9">
        <f t="shared" si="1"/>
        <v>25.533367692307692</v>
      </c>
      <c r="H9">
        <f>AVERAGE(D9,G9)</f>
        <v>25.582145384615387</v>
      </c>
    </row>
    <row r="10" spans="1:8" x14ac:dyDescent="0.35">
      <c r="A10">
        <v>6</v>
      </c>
      <c r="B10">
        <v>788.5</v>
      </c>
      <c r="C10">
        <f>C2-(B10*2*(2.757/1300))</f>
        <v>24.655546923076923</v>
      </c>
      <c r="D10">
        <f t="shared" si="0"/>
        <v>25.255546923076924</v>
      </c>
      <c r="E10">
        <v>811.5</v>
      </c>
      <c r="F10">
        <f>C2-(E10*2*(2.757/1300))</f>
        <v>24.55799153846154</v>
      </c>
      <c r="G10">
        <f t="shared" si="1"/>
        <v>25.157991538461541</v>
      </c>
      <c r="H10">
        <f>AVERAGE(D10,G10)</f>
        <v>25.206769230769233</v>
      </c>
    </row>
    <row r="11" spans="1:8" x14ac:dyDescent="0.35">
      <c r="A11">
        <v>5</v>
      </c>
      <c r="B11">
        <v>877</v>
      </c>
      <c r="C11">
        <f>C2-(B11*2*(2.757/1300))</f>
        <v>24.280170769230768</v>
      </c>
      <c r="D11">
        <f t="shared" si="0"/>
        <v>24.880170769230769</v>
      </c>
      <c r="E11">
        <v>900</v>
      </c>
      <c r="F11">
        <f>C2-(E11*2*(2.757/1300))</f>
        <v>24.182615384615385</v>
      </c>
      <c r="G11">
        <f t="shared" si="1"/>
        <v>24.782615384615386</v>
      </c>
      <c r="H11">
        <f>AVERAGE(D11,G11)</f>
        <v>24.831393076923078</v>
      </c>
    </row>
    <row r="12" spans="1:8" x14ac:dyDescent="0.35">
      <c r="A12">
        <v>4</v>
      </c>
      <c r="B12">
        <v>984.66700000000003</v>
      </c>
      <c r="C12">
        <f>C2-(B12*2*(2.757/1300))</f>
        <v>23.823497047692307</v>
      </c>
      <c r="D12">
        <f t="shared" si="0"/>
        <v>24.423497047692308</v>
      </c>
      <c r="E12">
        <v>1007.667</v>
      </c>
      <c r="F12">
        <f>C2-(E12*2*(2.757/1300))</f>
        <v>23.725941663076924</v>
      </c>
      <c r="G12">
        <f t="shared" si="1"/>
        <v>24.325941663076925</v>
      </c>
      <c r="H12">
        <f>AVERAGE(D12,G12)</f>
        <v>24.374719355384617</v>
      </c>
    </row>
    <row r="13" spans="1:8" x14ac:dyDescent="0.35">
      <c r="A13">
        <v>3</v>
      </c>
      <c r="B13">
        <v>1092.3340000000001</v>
      </c>
      <c r="C13">
        <f>C2-(B13*2*(2.757/1300))</f>
        <v>23.366823326153845</v>
      </c>
      <c r="D13">
        <f t="shared" si="0"/>
        <v>23.966823326153847</v>
      </c>
      <c r="E13">
        <v>1115.3340000000001</v>
      </c>
      <c r="F13">
        <f>C2-(E13*2*(2.757/1300))</f>
        <v>23.269267941538462</v>
      </c>
      <c r="G13">
        <f t="shared" si="1"/>
        <v>23.869267941538464</v>
      </c>
      <c r="H13">
        <f>AVERAGE(D13,G13)</f>
        <v>23.918045633846155</v>
      </c>
    </row>
    <row r="14" spans="1:8" x14ac:dyDescent="0.35">
      <c r="A14">
        <v>2</v>
      </c>
      <c r="B14">
        <v>1200</v>
      </c>
      <c r="C14">
        <f>C2-(B14*2*(2.757/1300))</f>
        <v>22.910153846153847</v>
      </c>
      <c r="D14">
        <f t="shared" si="0"/>
        <v>23.510153846153848</v>
      </c>
      <c r="E14">
        <v>1223</v>
      </c>
      <c r="F14">
        <f>C2-(E14*2*(2.757/1300))</f>
        <v>22.81259846153846</v>
      </c>
      <c r="G14">
        <f t="shared" si="1"/>
        <v>23.412598461538462</v>
      </c>
      <c r="H14">
        <f>AVERAGE(D14,G14)</f>
        <v>23.461376153846153</v>
      </c>
    </row>
    <row r="15" spans="1:8" x14ac:dyDescent="0.35">
      <c r="A15">
        <v>1</v>
      </c>
      <c r="B15">
        <v>1277</v>
      </c>
      <c r="C15">
        <f>C2-(B15*2*(2.757/1300))</f>
        <v>22.583555384615384</v>
      </c>
      <c r="D15">
        <f t="shared" si="0"/>
        <v>23.183555384615385</v>
      </c>
      <c r="E15">
        <v>1300</v>
      </c>
      <c r="F15">
        <f>C2-(E15*2*(2.757/1300))</f>
        <v>22.486000000000001</v>
      </c>
      <c r="G15">
        <f t="shared" si="1"/>
        <v>23.086000000000002</v>
      </c>
      <c r="H15">
        <f>AVERAGE(D15,G15)</f>
        <v>23.134777692307694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D7AEEB8DB104C8E53582CE6D93952" ma:contentTypeVersion="10" ma:contentTypeDescription="Create a new document." ma:contentTypeScope="" ma:versionID="1dad306f9cac061ffb966cb756d74864">
  <xsd:schema xmlns:xsd="http://www.w3.org/2001/XMLSchema" xmlns:xs="http://www.w3.org/2001/XMLSchema" xmlns:p="http://schemas.microsoft.com/office/2006/metadata/properties" xmlns:ns2="813e28f6-a18c-42a9-928d-3285ba8711ae" targetNamespace="http://schemas.microsoft.com/office/2006/metadata/properties" ma:root="true" ma:fieldsID="df77f36a872f91e37dbbcf649538b08e" ns2:_="">
    <xsd:import namespace="813e28f6-a18c-42a9-928d-3285ba8711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3e28f6-a18c-42a9-928d-3285ba8711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3e28f6-a18c-42a9-928d-3285ba8711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E1D0F9-CF49-4365-AA63-406655E15D8A}"/>
</file>

<file path=customXml/itemProps2.xml><?xml version="1.0" encoding="utf-8"?>
<ds:datastoreItem xmlns:ds="http://schemas.openxmlformats.org/officeDocument/2006/customXml" ds:itemID="{4A1A0F0A-6C99-4E71-BCBA-9B3966D89267}"/>
</file>

<file path=customXml/itemProps3.xml><?xml version="1.0" encoding="utf-8"?>
<ds:datastoreItem xmlns:ds="http://schemas.openxmlformats.org/officeDocument/2006/customXml" ds:itemID="{C3E0260F-7EE6-439F-98A8-397FFAF1B4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Johanna Stylo</dc:creator>
  <cp:lastModifiedBy>Johanna Stylo</cp:lastModifiedBy>
  <dcterms:created xsi:type="dcterms:W3CDTF">2025-01-13T18:25:03Z</dcterms:created>
  <dcterms:modified xsi:type="dcterms:W3CDTF">2025-01-22T12:30:27Z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0x01010040FD7AEEB8DB104C8E53582CE6D93952</vt:lpwstr>
  </property>
  <property fmtid="{D5CDD505-2E9C-101B-9397-08002B2CF9AE}" pid="3" name="Order">
    <vt:r8>740100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