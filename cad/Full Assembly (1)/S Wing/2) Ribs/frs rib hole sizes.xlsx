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ud23108_bristol_ac_uk/Documents/AVDASI/CAD/"/>
    </mc:Choice>
  </mc:AlternateContent>
  <xr:revisionPtr revIDLastSave="0" documentId="8_{731A4C79-4F60-4A02-A77A-816165ECBF8D}" xr6:coauthVersionLast="47" xr6:coauthVersionMax="47" xr10:uidLastSave="{00000000-0000-0000-0000-000000000000}"/>
  <bookViews>
    <workbookView xWindow="-110" yWindow="-110" windowWidth="19420" windowHeight="10300" xr2:uid="{D98A2A78-5FD5-4BCE-BDBB-73B41B8CD095}"/>
  </bookViews>
  <sheets>
    <sheet name="FRS cal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G12" i="1" s="1"/>
  <c r="F13" i="1"/>
  <c r="G13" i="1" s="1"/>
  <c r="F14" i="1"/>
  <c r="G14" i="1" s="1"/>
  <c r="F2" i="1"/>
  <c r="G2" i="1" s="1"/>
  <c r="B3" i="1"/>
  <c r="B4" i="1"/>
  <c r="B5" i="1"/>
  <c r="B6" i="1"/>
  <c r="B7" i="1"/>
  <c r="B8" i="1"/>
  <c r="B9" i="1"/>
  <c r="B10" i="1"/>
  <c r="B11" i="1"/>
  <c r="B12" i="1"/>
  <c r="B13" i="1"/>
  <c r="B14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G3" i="1"/>
  <c r="G11" i="1"/>
</calcChain>
</file>

<file path=xl/sharedStrings.xml><?xml version="1.0" encoding="utf-8"?>
<sst xmlns="http://schemas.openxmlformats.org/spreadsheetml/2006/main" count="7" uniqueCount="7">
  <si>
    <t>rib num</t>
  </si>
  <si>
    <t>length min</t>
  </si>
  <si>
    <t>length avg</t>
  </si>
  <si>
    <t>diameter</t>
  </si>
  <si>
    <t>frs length max</t>
  </si>
  <si>
    <t>frs length min</t>
  </si>
  <si>
    <t>main spar length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</si>
</sst>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89D3-4984-4DDB-850A-9F7B9D368365}">
  <dimension ref="A1:G14"/>
  <sheetViews>
    <sheetView tabSelected="1" workbookViewId="0">
      <selection activeCell="H13" sqref="H13"/>
    </sheetView>
  </sheetViews>
  <sheetFormatPr defaultRowHeight="14.5" x14ac:dyDescent="0.35"/>
  <cols>
    <col min="2" max="2" width="12" bestFit="1" customWidth="1"/>
    <col min="3" max="3" width="11.6328125" bestFit="1" customWidth="1"/>
    <col min="4" max="4" width="18" bestFit="1" customWidth="1"/>
    <col min="5" max="5" width="9.1796875" bestFit="1" customWidth="1"/>
    <col min="6" max="6" width="8.90625" bestFit="1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  <row r="2" spans="1:7" x14ac:dyDescent="0.35">
      <c r="A2">
        <v>13</v>
      </c>
      <c r="B2">
        <f>D2+20</f>
        <v>120</v>
      </c>
      <c r="C2">
        <f>E2+20</f>
        <v>143</v>
      </c>
      <c r="D2">
        <v>100</v>
      </c>
      <c r="E2">
        <v>123</v>
      </c>
      <c r="F2">
        <f>AVERAGE(B2,C2)</f>
        <v>131.5</v>
      </c>
      <c r="G2">
        <f>13.25-(2*F2*(4.125/1320))</f>
        <v>12.428125</v>
      </c>
    </row>
    <row r="3" spans="1:7" x14ac:dyDescent="0.35">
      <c r="A3">
        <v>12</v>
      </c>
      <c r="B3">
        <f t="shared" ref="B3:B14" si="0">D3+20</f>
        <v>208.5</v>
      </c>
      <c r="C3">
        <f t="shared" ref="C3:C14" si="1">E3+20</f>
        <v>231.5</v>
      </c>
      <c r="D3">
        <v>188.5</v>
      </c>
      <c r="E3">
        <v>211.5</v>
      </c>
      <c r="F3">
        <f t="shared" ref="F3:F14" si="2">AVERAGE(B3,C3)</f>
        <v>220</v>
      </c>
      <c r="G3">
        <f t="shared" ref="G3:G14" si="3">13.25-(2*F3*(4.125/1320))</f>
        <v>11.875</v>
      </c>
    </row>
    <row r="4" spans="1:7" x14ac:dyDescent="0.35">
      <c r="A4">
        <v>11</v>
      </c>
      <c r="B4">
        <f t="shared" si="0"/>
        <v>297</v>
      </c>
      <c r="C4">
        <f t="shared" si="1"/>
        <v>320</v>
      </c>
      <c r="D4">
        <v>277</v>
      </c>
      <c r="E4">
        <v>300</v>
      </c>
      <c r="F4">
        <f t="shared" si="2"/>
        <v>308.5</v>
      </c>
      <c r="G4">
        <f t="shared" si="3"/>
        <v>11.321875</v>
      </c>
    </row>
    <row r="5" spans="1:7" x14ac:dyDescent="0.35">
      <c r="A5">
        <v>10</v>
      </c>
      <c r="B5">
        <f t="shared" si="0"/>
        <v>394.75</v>
      </c>
      <c r="C5">
        <f t="shared" si="1"/>
        <v>417.75</v>
      </c>
      <c r="D5">
        <v>374.75</v>
      </c>
      <c r="E5">
        <v>397.75</v>
      </c>
      <c r="F5">
        <f t="shared" si="2"/>
        <v>406.25</v>
      </c>
      <c r="G5">
        <f t="shared" si="3"/>
        <v>10.7109375</v>
      </c>
    </row>
    <row r="6" spans="1:7" x14ac:dyDescent="0.35">
      <c r="A6">
        <v>9</v>
      </c>
      <c r="B6">
        <f t="shared" si="0"/>
        <v>508.5</v>
      </c>
      <c r="C6">
        <f t="shared" si="1"/>
        <v>531.5</v>
      </c>
      <c r="D6">
        <v>488.5</v>
      </c>
      <c r="E6">
        <v>511.5</v>
      </c>
      <c r="F6">
        <f t="shared" si="2"/>
        <v>520</v>
      </c>
      <c r="G6">
        <f t="shared" si="3"/>
        <v>10</v>
      </c>
    </row>
    <row r="7" spans="1:7" x14ac:dyDescent="0.35">
      <c r="A7">
        <v>8</v>
      </c>
      <c r="B7">
        <f t="shared" si="0"/>
        <v>622.25</v>
      </c>
      <c r="C7">
        <f t="shared" si="1"/>
        <v>645.25</v>
      </c>
      <c r="D7">
        <v>602.25</v>
      </c>
      <c r="E7">
        <v>625.25</v>
      </c>
      <c r="F7">
        <f t="shared" si="2"/>
        <v>633.75</v>
      </c>
      <c r="G7">
        <f t="shared" si="3"/>
        <v>9.2890625</v>
      </c>
    </row>
    <row r="8" spans="1:7" x14ac:dyDescent="0.35">
      <c r="A8">
        <v>7</v>
      </c>
      <c r="B8">
        <f t="shared" si="0"/>
        <v>720</v>
      </c>
      <c r="C8">
        <f t="shared" si="1"/>
        <v>743</v>
      </c>
      <c r="D8">
        <v>700</v>
      </c>
      <c r="E8">
        <v>723</v>
      </c>
      <c r="F8">
        <f t="shared" si="2"/>
        <v>731.5</v>
      </c>
      <c r="G8">
        <f t="shared" si="3"/>
        <v>8.6781249999999996</v>
      </c>
    </row>
    <row r="9" spans="1:7" x14ac:dyDescent="0.35">
      <c r="A9">
        <v>6</v>
      </c>
      <c r="B9">
        <f t="shared" si="0"/>
        <v>808.5</v>
      </c>
      <c r="C9">
        <f t="shared" si="1"/>
        <v>831.5</v>
      </c>
      <c r="D9">
        <v>788.5</v>
      </c>
      <c r="E9">
        <v>811.5</v>
      </c>
      <c r="F9">
        <f t="shared" si="2"/>
        <v>820</v>
      </c>
      <c r="G9">
        <f t="shared" si="3"/>
        <v>8.125</v>
      </c>
    </row>
    <row r="10" spans="1:7" x14ac:dyDescent="0.35">
      <c r="A10">
        <v>5</v>
      </c>
      <c r="B10">
        <f t="shared" si="0"/>
        <v>897</v>
      </c>
      <c r="C10">
        <f t="shared" si="1"/>
        <v>920</v>
      </c>
      <c r="D10">
        <v>877</v>
      </c>
      <c r="E10">
        <v>900</v>
      </c>
      <c r="F10">
        <f t="shared" si="2"/>
        <v>908.5</v>
      </c>
      <c r="G10">
        <f t="shared" si="3"/>
        <v>7.5718749999999995</v>
      </c>
    </row>
    <row r="11" spans="1:7" x14ac:dyDescent="0.35">
      <c r="A11">
        <v>4</v>
      </c>
      <c r="B11">
        <f t="shared" si="0"/>
        <v>1004.667</v>
      </c>
      <c r="C11">
        <f t="shared" si="1"/>
        <v>1027.6669999999999</v>
      </c>
      <c r="D11">
        <v>984.66700000000003</v>
      </c>
      <c r="E11">
        <v>1007.667</v>
      </c>
      <c r="F11">
        <f t="shared" si="2"/>
        <v>1016.1669999999999</v>
      </c>
      <c r="G11">
        <f t="shared" si="3"/>
        <v>6.8989562500000003</v>
      </c>
    </row>
    <row r="12" spans="1:7" x14ac:dyDescent="0.35">
      <c r="A12">
        <v>3</v>
      </c>
      <c r="B12">
        <f t="shared" si="0"/>
        <v>1112.3340000000001</v>
      </c>
      <c r="C12">
        <f t="shared" si="1"/>
        <v>1135.3340000000001</v>
      </c>
      <c r="D12">
        <v>1092.3340000000001</v>
      </c>
      <c r="E12">
        <v>1115.3340000000001</v>
      </c>
      <c r="F12">
        <f t="shared" si="2"/>
        <v>1123.8340000000001</v>
      </c>
      <c r="G12">
        <f t="shared" si="3"/>
        <v>6.2260374999999994</v>
      </c>
    </row>
    <row r="13" spans="1:7" x14ac:dyDescent="0.35">
      <c r="A13">
        <v>2</v>
      </c>
      <c r="B13">
        <f t="shared" si="0"/>
        <v>1220</v>
      </c>
      <c r="C13">
        <f t="shared" si="1"/>
        <v>1243</v>
      </c>
      <c r="D13">
        <v>1200</v>
      </c>
      <c r="E13">
        <v>1223</v>
      </c>
      <c r="F13">
        <f t="shared" si="2"/>
        <v>1231.5</v>
      </c>
      <c r="G13">
        <f t="shared" si="3"/>
        <v>5.5531249999999996</v>
      </c>
    </row>
    <row r="14" spans="1:7" x14ac:dyDescent="0.35">
      <c r="A14">
        <v>1</v>
      </c>
      <c r="B14">
        <f t="shared" si="0"/>
        <v>1297</v>
      </c>
      <c r="C14">
        <f t="shared" si="1"/>
        <v>1320</v>
      </c>
      <c r="D14">
        <v>1277</v>
      </c>
      <c r="E14">
        <v>1300</v>
      </c>
      <c r="F14">
        <f t="shared" si="2"/>
        <v>1308.5</v>
      </c>
      <c r="G14">
        <f t="shared" si="3"/>
        <v>5.0718750000000004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D7AEEB8DB104C8E53582CE6D93952" ma:contentTypeVersion="10" ma:contentTypeDescription="Create a new document." ma:contentTypeScope="" ma:versionID="1dad306f9cac061ffb966cb756d74864">
  <xsd:schema xmlns:xsd="http://www.w3.org/2001/XMLSchema" xmlns:xs="http://www.w3.org/2001/XMLSchema" xmlns:p="http://schemas.microsoft.com/office/2006/metadata/properties" xmlns:ns2="813e28f6-a18c-42a9-928d-3285ba8711ae" targetNamespace="http://schemas.microsoft.com/office/2006/metadata/properties" ma:root="true" ma:fieldsID="df77f36a872f91e37dbbcf649538b08e" ns2:_="">
    <xsd:import namespace="813e28f6-a18c-42a9-928d-3285ba8711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e28f6-a18c-42a9-928d-3285ba8711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3e28f6-a18c-42a9-928d-3285ba8711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90E902-C4D5-4047-AD7F-A940CBC36156}"/>
</file>

<file path=customXml/itemProps2.xml><?xml version="1.0" encoding="utf-8"?>
<ds:datastoreItem xmlns:ds="http://schemas.openxmlformats.org/officeDocument/2006/customXml" ds:itemID="{BC4D8437-17CA-46A4-B120-76C265B19E91}"/>
</file>

<file path=customXml/itemProps3.xml><?xml version="1.0" encoding="utf-8"?>
<ds:datastoreItem xmlns:ds="http://schemas.openxmlformats.org/officeDocument/2006/customXml" ds:itemID="{973814CD-3ABC-491D-81E9-319BD4267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 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Johanna Stylo</dc:creator>
  <cp:lastModifiedBy>Johanna Stylo</cp:lastModifiedBy>
  <dcterms:created xsi:type="dcterms:W3CDTF">2025-01-21T21:37:40Z</dcterms:created>
  <dcterms:modified xsi:type="dcterms:W3CDTF">2025-01-22T12:30:25Z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0x01010040FD7AEEB8DB104C8E53582CE6D93952</vt:lpwstr>
  </property>
  <property fmtid="{D5CDD505-2E9C-101B-9397-08002B2CF9AE}" pid="3" name="Order">
    <vt:r8>739900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